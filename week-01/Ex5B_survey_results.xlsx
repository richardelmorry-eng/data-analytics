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5D8FAFF3-C1E4-452B-82E2-452D0574F3F9}" xr6:coauthVersionLast="47" xr6:coauthVersionMax="47" xr10:uidLastSave="{00000000-0000-0000-0000-000000000000}"/>
  <bookViews>
    <workbookView xWindow="0" yWindow="0" windowWidth="28800" windowHeight="13905" activeTab="1" xr2:uid="{00000000-000D-0000-FFFF-FFFF00000000}"/>
  </bookViews>
  <sheets>
    <sheet name="Sheet1" sheetId="1" r:id="rId1"/>
    <sheet name="Sheet2" sheetId="2" r:id="rId2"/>
  </sheets>
  <calcPr calcId="191028"/>
  <pivotCaches>
    <pivotCache cacheId="70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L7" i="1"/>
  <c r="M7" i="1"/>
  <c r="K7" i="1"/>
  <c r="J7" i="1"/>
  <c r="E7" i="1"/>
  <c r="E2" i="1"/>
  <c r="E3" i="1"/>
  <c r="E4" i="1"/>
  <c r="E5" i="1"/>
  <c r="E6" i="1"/>
</calcChain>
</file>

<file path=xl/sharedStrings.xml><?xml version="1.0" encoding="utf-8"?>
<sst xmlns="http://schemas.openxmlformats.org/spreadsheetml/2006/main" count="55" uniqueCount="40">
  <si>
    <t>Id</t>
  </si>
  <si>
    <t>Start time</t>
  </si>
  <si>
    <t>Completion time</t>
  </si>
  <si>
    <t>Email</t>
  </si>
  <si>
    <t>Time to complete</t>
  </si>
  <si>
    <t>Name</t>
  </si>
  <si>
    <t>When did you last visit Dunkin'?</t>
  </si>
  <si>
    <t>What did you order on that visit?</t>
  </si>
  <si>
    <t>How did you order?</t>
  </si>
  <si>
    <t>How satisfied were you with the speed of service?</t>
  </si>
  <si>
    <t>How satisfied were you with the quality of your food or drink?</t>
  </si>
  <si>
    <t>Are you a member of Dunkin' Rewards?</t>
  </si>
  <si>
    <t>How likely are you to join or keep using Dunkin' Rewards?</t>
  </si>
  <si>
    <t>What is one thing Dunkin' could do to improve your visit?</t>
  </si>
  <si>
    <t>ilee@my.yearupunited.org</t>
  </si>
  <si>
    <t>idasha lee</t>
  </si>
  <si>
    <t>Within the past month</t>
  </si>
  <si>
    <t>Iced coffee</t>
  </si>
  <si>
    <t>Drive-thru</t>
  </si>
  <si>
    <t>No</t>
  </si>
  <si>
    <t>The donuts was a little dry but my drink was giving LOTTA LATTE.</t>
  </si>
  <si>
    <t>cspringer@my.yearupunited.org</t>
  </si>
  <si>
    <t>christopher springer</t>
  </si>
  <si>
    <t>A donut or baked item</t>
  </si>
  <si>
    <t>In the store</t>
  </si>
  <si>
    <t>Yes</t>
  </si>
  <si>
    <t>Make sure no one takes an order I've placed on the app. Better verification process.</t>
  </si>
  <si>
    <t>dmendez1@my.yearupunited.org</t>
  </si>
  <si>
    <t>denae mendez</t>
  </si>
  <si>
    <t>More than a month ago</t>
  </si>
  <si>
    <t>Improve the taste of your hot chocolate drinks</t>
  </si>
  <si>
    <t>gabidemi@my.yearupunited.org</t>
  </si>
  <si>
    <t>gbolahan abidemi</t>
  </si>
  <si>
    <t>Hire more staff to keep the speed going</t>
  </si>
  <si>
    <t>awhite@my.yearupunited.org</t>
  </si>
  <si>
    <t>aalexus white</t>
  </si>
  <si>
    <t>Delivery app</t>
  </si>
  <si>
    <t>My overall experience was pleasant, keep up the great work!</t>
  </si>
  <si>
    <t>Count of Name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</si>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</sst>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2" borderId="1" xfId="0" applyNumberFormat="1" applyFont="1" applyFill="1" applyBorder="1"/>
    <xf numFmtId="45" fontId="0" fillId="0" borderId="0" xfId="0" applyNumberFormat="1"/>
    <xf numFmtId="0" fontId="0" fillId="0" borderId="0" xfId="0" pivotButton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</dxf>
    <dxf>
      <numFmt numFmtId="30" formatCode="@"/>
    </dxf>
    <dxf>
      <numFmt numFmtId="30" formatCode="@"/>
    </dxf>
    <dxf>
      <numFmt numFmtId="165" formatCode="mm/dd/yyyy\ hh:mm:ss"/>
    </dxf>
    <dxf>
      <numFmt numFmtId="165" formatCode="mm/dd/yyyy\ hh: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[Dunkin' Customer Experience Survey.xlsx]Sheet2!PivotTable1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Sheet2!$A$3:$A$6</c:f>
              <c:strCache>
                <c:ptCount val="3"/>
                <c:pt idx="0">
                  <c:v>Delivery app</c:v>
                </c:pt>
                <c:pt idx="1">
                  <c:v>Drive-thru</c:v>
                </c:pt>
                <c:pt idx="2">
                  <c:v>In the store</c:v>
                </c:pt>
              </c:strCache>
            </c:strRef>
          </c:cat>
          <c:val>
            <c:numRef>
              <c:f>Sheet2!$B$3:$B$6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C-4824-B3F5-488E3E69F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298632"/>
        <c:axId val="1165422088"/>
      </c:barChart>
      <c:catAx>
        <c:axId val="115829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22088"/>
        <c:crosses val="autoZero"/>
        <c:auto val="1"/>
        <c:lblAlgn val="ctr"/>
        <c:lblOffset val="100"/>
        <c:noMultiLvlLbl val="0"/>
      </c:catAx>
      <c:valAx>
        <c:axId val="116542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29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6</xdr:row>
      <xdr:rowOff>114300</xdr:rowOff>
    </xdr:from>
    <xdr:to>
      <xdr:col>10</xdr:col>
      <xdr:colOff>266700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860C9-299E-FBB9-4237-374C1EDBC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6.912796643519" createdVersion="8" refreshedVersion="8" minRefreshableVersion="3" recordCount="5" xr:uid="{631D138B-957F-4BCE-96AE-13B40A70B0FD}">
  <cacheSource type="worksheet">
    <worksheetSource name="OfficeForms.Table"/>
  </cacheSource>
  <cacheFields count="14">
    <cacheField name="Id" numFmtId="0">
      <sharedItems containsSemiMixedTypes="0" containsString="0" containsNumber="1" containsInteger="1" minValue="1" maxValue="5"/>
    </cacheField>
    <cacheField name="Start time" numFmtId="165">
      <sharedItems containsSemiMixedTypes="0" containsNonDate="0" containsDate="1" containsString="0" minDate="2026-10-15T09:24:29" maxDate="2026-10-20T20:50:39"/>
    </cacheField>
    <cacheField name="Completion time" numFmtId="165">
      <sharedItems containsSemiMixedTypes="0" containsNonDate="0" containsDate="1" containsString="0" minDate="2026-10-15T11:18:10" maxDate="2026-10-20T20:51:44"/>
    </cacheField>
    <cacheField name="Email" numFmtId="0">
      <sharedItems/>
    </cacheField>
    <cacheField name="Time to complete" numFmtId="45">
      <sharedItems containsSemiMixedTypes="0" containsNonDate="0" containsDate="1" containsString="0" minDate="1899-12-30T00:00:40" maxDate="1899-12-30T01:53:41"/>
    </cacheField>
    <cacheField name="Name" numFmtId="0">
      <sharedItems count="5">
        <s v="idasha lee"/>
        <s v="christopher springer"/>
        <s v="denae mendez"/>
        <s v="gbolahan abidemi"/>
        <s v="aalexus white"/>
      </sharedItems>
    </cacheField>
    <cacheField name="When did you last visit Dunkin'?" numFmtId="0">
      <sharedItems/>
    </cacheField>
    <cacheField name="What did you order on that visit?" numFmtId="0">
      <sharedItems/>
    </cacheField>
    <cacheField name="How did you order?" numFmtId="0">
      <sharedItems count="3">
        <s v="Drive-thru"/>
        <s v="In the store"/>
        <s v="Delivery app"/>
      </sharedItems>
    </cacheField>
    <cacheField name="How satisfied were you with the speed of service?" numFmtId="0">
      <sharedItems containsSemiMixedTypes="0" containsString="0" containsNumber="1" containsInteger="1" minValue="4" maxValue="5"/>
    </cacheField>
    <cacheField name="How satisfied were you with the quality of your food or drink?" numFmtId="0">
      <sharedItems containsSemiMixedTypes="0" containsString="0" containsNumber="1" containsInteger="1" minValue="3" maxValue="5"/>
    </cacheField>
    <cacheField name="Are you a member of Dunkin' Rewards?" numFmtId="0">
      <sharedItems/>
    </cacheField>
    <cacheField name="How likely are you to join or keep using Dunkin' Rewards?" numFmtId="0">
      <sharedItems containsSemiMixedTypes="0" containsString="0" containsNumber="1" containsInteger="1" minValue="2" maxValue="5"/>
    </cacheField>
    <cacheField name="What is one thing Dunkin' could do to improve your visit?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d v="2026-10-15T09:24:29"/>
    <d v="2026-10-15T11:18:10"/>
    <s v="ilee@my.yearupunited.org"/>
    <d v="1899-12-30T01:53:41"/>
    <x v="0"/>
    <s v="Within the past month"/>
    <s v="Iced coffee"/>
    <x v="0"/>
    <n v="4"/>
    <n v="3"/>
    <s v="No"/>
    <n v="4"/>
    <s v="The donuts was a little dry but my drink was giving LOTTA LATTE."/>
  </r>
  <r>
    <n v="2"/>
    <d v="2026-10-16T13:33:20"/>
    <d v="2026-10-16T13:34:41"/>
    <s v="cspringer@my.yearupunited.org"/>
    <d v="1899-12-30T00:01:21"/>
    <x v="1"/>
    <s v="Within the past month"/>
    <s v="A donut or baked item"/>
    <x v="1"/>
    <n v="5"/>
    <n v="5"/>
    <s v="Yes"/>
    <n v="5"/>
    <s v="Make sure no one takes an order I've placed on the app. Better verification process."/>
  </r>
  <r>
    <n v="3"/>
    <d v="2026-10-16T16:43:32"/>
    <d v="2026-10-16T16:44:34"/>
    <s v="dmendez1@my.yearupunited.org"/>
    <d v="1899-12-30T00:01:02"/>
    <x v="2"/>
    <s v="More than a month ago"/>
    <s v="A donut or baked item"/>
    <x v="1"/>
    <n v="5"/>
    <n v="4"/>
    <s v="No"/>
    <n v="2"/>
    <s v="Improve the taste of your hot chocolate drinks"/>
  </r>
  <r>
    <n v="4"/>
    <d v="2026-10-16T18:39:05"/>
    <d v="2026-10-16T18:39:45"/>
    <s v="gabidemi@my.yearupunited.org"/>
    <d v="1899-12-30T00:00:40"/>
    <x v="3"/>
    <s v="More than a month ago"/>
    <s v="A donut or baked item"/>
    <x v="1"/>
    <n v="4"/>
    <n v="5"/>
    <s v="No"/>
    <n v="4"/>
    <s v="Hire more staff to keep the speed going"/>
  </r>
  <r>
    <n v="5"/>
    <d v="2026-10-20T20:50:39"/>
    <d v="2026-10-20T20:51:44"/>
    <s v="awhite@my.yearupunited.org"/>
    <d v="1899-12-30T00:01:05"/>
    <x v="4"/>
    <s v="More than a month ago"/>
    <s v="A donut or baked item"/>
    <x v="2"/>
    <n v="5"/>
    <n v="5"/>
    <s v="No"/>
    <n v="5"/>
    <s v="My overall experience was pleasant, keep up the great work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85B45-32E3-424D-8602-7D4CACF83126}" name="PivotTable1" cacheId="7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14">
    <pivotField compact="0" outline="0" showAll="0"/>
    <pivotField compact="0" numFmtId="165" outline="0" showAll="0"/>
    <pivotField compact="0" numFmtId="165" outline="0" showAll="0"/>
    <pivotField compact="0" outline="0" showAll="0"/>
    <pivotField compact="0" numFmtId="45" outline="0" showAll="0"/>
    <pivotField dataField="1"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7" totalsRowCount="1">
  <autoFilter ref="A1:N6" xr:uid="{00000000-0009-0000-0100-000001000000}"/>
  <tableColumns count="14">
    <tableColumn id="1" xr3:uid="{00000000-0010-0000-0000-000001000000}" name="Id" dataDxfId="26" totalsRowDxfId="2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4" totalsRowDxfId="2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2" totalsRowDxfId="23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0" totalsRowDxfId="21">
      <extLst>
        <ext xmlns:xlmsforms="http://schemas.microsoft.com/office/spreadsheetml/2023/msForms" uri="{FCC71383-01E1-4257-9335-427F07BE8D7F}">
          <xlmsforms:question id="responder"/>
        </ext>
      </extLst>
    </tableColumn>
    <tableColumn id="14" xr3:uid="{ADAFB241-B07F-49A7-8A2C-AE044F6F7B1B}" name="Time to complete" totalsRowFunction="custom" dataDxfId="18" totalsRowDxfId="19">
      <calculatedColumnFormula>C2-B2</calculatedColumnFormula>
      <totalsRowFormula>AVERAGE(E2:E6)</totalsRowFormula>
    </tableColumn>
    <tableColumn id="5" xr3:uid="{00000000-0010-0000-0000-000005000000}" name="Name" dataDxfId="16" totalsRow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en did you last visit Dunkin'?" dataDxfId="14" totalsRowDxfId="15">
      <extLst>
        <ext xmlns:xlmsforms="http://schemas.microsoft.com/office/spreadsheetml/2023/msForms" uri="{FCC71383-01E1-4257-9335-427F07BE8D7F}">
          <xlmsforms:question id="r0d1f090e89ed4db2983df90f2eb43b79"/>
        </ext>
      </extLst>
    </tableColumn>
    <tableColumn id="7" xr3:uid="{00000000-0010-0000-0000-000007000000}" name="What did you order on that visit?" dataDxfId="12" totalsRowDxfId="13">
      <extLst>
        <ext xmlns:xlmsforms="http://schemas.microsoft.com/office/spreadsheetml/2023/msForms" uri="{FCC71383-01E1-4257-9335-427F07BE8D7F}">
          <xlmsforms:question id="rbf92df4d51e541ee8db3456b415d0006"/>
        </ext>
      </extLst>
    </tableColumn>
    <tableColumn id="8" xr3:uid="{00000000-0010-0000-0000-000008000000}" name="How did you order?" totalsRowFunction="custom" dataDxfId="10" totalsRowDxfId="11">
      <totalsRowFormula>COUNTIF(I2:I6,"In the store")</totalsRowFormula>
      <extLst>
        <ext xmlns:xlmsforms="http://schemas.microsoft.com/office/spreadsheetml/2023/msForms" uri="{FCC71383-01E1-4257-9335-427F07BE8D7F}">
          <xlmsforms:question id="rddde85e2a8b34b4ab409afb886948295"/>
        </ext>
      </extLst>
    </tableColumn>
    <tableColumn id="9" xr3:uid="{00000000-0010-0000-0000-000009000000}" name="How satisfied were you with the speed of service?" totalsRowFunction="custom" dataDxfId="8" totalsRowDxfId="9">
      <totalsRowFormula>AVERAGE(J2:J6)</totalsRowFormula>
      <extLst>
        <ext xmlns:xlmsforms="http://schemas.microsoft.com/office/spreadsheetml/2023/msForms" uri="{FCC71383-01E1-4257-9335-427F07BE8D7F}">
          <xlmsforms:question id="rd7f9e5579d2d4360b2c3059ef45db078"/>
        </ext>
      </extLst>
    </tableColumn>
    <tableColumn id="10" xr3:uid="{00000000-0010-0000-0000-00000A000000}" name="How satisfied were you with the quality of your food or drink?" totalsRowFunction="custom" dataDxfId="6" totalsRowDxfId="7">
      <totalsRowFormula>AVERAGE(K2:K6)</totalsRowFormula>
      <extLst>
        <ext xmlns:xlmsforms="http://schemas.microsoft.com/office/spreadsheetml/2023/msForms" uri="{FCC71383-01E1-4257-9335-427F07BE8D7F}">
          <xlmsforms:question id="r443f776a1c3f47319ff4f18753b1d8e5"/>
        </ext>
      </extLst>
    </tableColumn>
    <tableColumn id="11" xr3:uid="{00000000-0010-0000-0000-00000B000000}" name="Are you a member of Dunkin' Rewards?" totalsRowFunction="custom" dataDxfId="4" totalsRowDxfId="5">
      <totalsRowFormula>COUNTIF(L2:L6,"No")</totalsRowFormula>
      <extLst>
        <ext xmlns:xlmsforms="http://schemas.microsoft.com/office/spreadsheetml/2023/msForms" uri="{FCC71383-01E1-4257-9335-427F07BE8D7F}">
          <xlmsforms:question id="r77f4fdbd764943faa03c400291ccfddd"/>
        </ext>
      </extLst>
    </tableColumn>
    <tableColumn id="12" xr3:uid="{00000000-0010-0000-0000-00000C000000}" name="How likely are you to join or keep using Dunkin' Rewards?" totalsRowFunction="custom" dataDxfId="2" totalsRowDxfId="3">
      <totalsRowFormula>AVERAGE(M2:M6)</totalsRowFormula>
      <extLst>
        <ext xmlns:xlmsforms="http://schemas.microsoft.com/office/spreadsheetml/2023/msForms" uri="{FCC71383-01E1-4257-9335-427F07BE8D7F}">
          <xlmsforms:question id="r49873a0ee7104b7586a5b01882e0c02d"/>
        </ext>
      </extLst>
    </tableColumn>
    <tableColumn id="13" xr3:uid="{00000000-0010-0000-0000-00000D000000}" name="What is one thing Dunkin' could do to improve your visit?" dataDxfId="0" totalsRowDxfId="1">
      <extLst>
        <ext xmlns:xlmsforms="http://schemas.microsoft.com/office/spreadsheetml/2023/msForms" uri="{FCC71383-01E1-4257-9335-427F07BE8D7F}">
          <xlmsforms:question id="rc0b8a00c45f0478088d43784bda21ae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_O8SZG9QxRHiDFSFWo4p7FUMjhSODJPVlUzRkpINlBCOEtDSzVHNE5RSi4u" isFormConnected="1" maxResponseId="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r0d1f090e89ed4db2983df90f2eb43b79</xlmsforms:syncedQuestionId>
        <xlmsforms:syncedQuestionId>rbf92df4d51e541ee8db3456b415d0006</xlmsforms:syncedQuestionId>
        <xlmsforms:syncedQuestionId>rddde85e2a8b34b4ab409afb886948295</xlmsforms:syncedQuestionId>
        <xlmsforms:syncedQuestionId>rd7f9e5579d2d4360b2c3059ef45db078</xlmsforms:syncedQuestionId>
        <xlmsforms:syncedQuestionId>r443f776a1c3f47319ff4f18753b1d8e5</xlmsforms:syncedQuestionId>
        <xlmsforms:syncedQuestionId>r77f4fdbd764943faa03c400291ccfddd</xlmsforms:syncedQuestionId>
        <xlmsforms:syncedQuestionId>r49873a0ee7104b7586a5b01882e0c02d</xlmsforms:syncedQuestionId>
        <xlmsforms:syncedQuestionId>rc0b8a00c45f0478088d43784bda21aed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workbookViewId="0">
      <selection activeCell="A2" sqref="A2"/>
    </sheetView>
  </sheetViews>
  <sheetFormatPr defaultRowHeight="15"/>
  <cols>
    <col min="1" max="1" width="20" bestFit="1" customWidth="1"/>
    <col min="2" max="2" width="20" style="3" bestFit="1" customWidth="1"/>
    <col min="3" max="4" width="20" bestFit="1" customWidth="1"/>
    <col min="5" max="5" width="20" style="5" customWidth="1"/>
    <col min="6" max="14" width="20" bestFit="1" customWidth="1"/>
  </cols>
  <sheetData>
    <row r="1" spans="1:14">
      <c r="A1" t="s">
        <v>0</v>
      </c>
      <c r="B1" s="3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3">
        <v>46310.392002314817</v>
      </c>
      <c r="C2" s="3">
        <v>46310.470949074072</v>
      </c>
      <c r="D2" t="s">
        <v>14</v>
      </c>
      <c r="E2" s="5">
        <f t="shared" ref="E2:E6" si="0">C2-B2</f>
        <v>7.8946759254904464E-2</v>
      </c>
      <c r="F2" t="s">
        <v>15</v>
      </c>
      <c r="G2" t="s">
        <v>16</v>
      </c>
      <c r="H2" t="s">
        <v>17</v>
      </c>
      <c r="I2" t="s">
        <v>18</v>
      </c>
      <c r="J2">
        <v>4</v>
      </c>
      <c r="K2">
        <v>3</v>
      </c>
      <c r="L2" t="s">
        <v>19</v>
      </c>
      <c r="M2">
        <v>4</v>
      </c>
      <c r="N2" t="s">
        <v>20</v>
      </c>
    </row>
    <row r="3" spans="1:14">
      <c r="A3">
        <v>2</v>
      </c>
      <c r="B3" s="3">
        <v>46311.564814814818</v>
      </c>
      <c r="C3" s="3">
        <v>46311.565752314818</v>
      </c>
      <c r="D3" t="s">
        <v>21</v>
      </c>
      <c r="E3" s="5">
        <f t="shared" si="0"/>
        <v>9.3750000087311491E-4</v>
      </c>
      <c r="F3" t="s">
        <v>22</v>
      </c>
      <c r="G3" t="s">
        <v>16</v>
      </c>
      <c r="H3" t="s">
        <v>23</v>
      </c>
      <c r="I3" t="s">
        <v>24</v>
      </c>
      <c r="J3">
        <v>5</v>
      </c>
      <c r="K3">
        <v>5</v>
      </c>
      <c r="L3" t="s">
        <v>25</v>
      </c>
      <c r="M3">
        <v>5</v>
      </c>
      <c r="N3" t="s">
        <v>26</v>
      </c>
    </row>
    <row r="4" spans="1:14">
      <c r="A4">
        <v>3</v>
      </c>
      <c r="B4" s="3">
        <v>46311.696898148148</v>
      </c>
      <c r="C4" s="3">
        <v>46311.697615740741</v>
      </c>
      <c r="D4" t="s">
        <v>27</v>
      </c>
      <c r="E4" s="5">
        <f t="shared" si="0"/>
        <v>7.1759259299142286E-4</v>
      </c>
      <c r="F4" t="s">
        <v>28</v>
      </c>
      <c r="G4" t="s">
        <v>29</v>
      </c>
      <c r="H4" t="s">
        <v>23</v>
      </c>
      <c r="I4" t="s">
        <v>24</v>
      </c>
      <c r="J4">
        <v>5</v>
      </c>
      <c r="K4">
        <v>4</v>
      </c>
      <c r="L4" t="s">
        <v>19</v>
      </c>
      <c r="M4">
        <v>2</v>
      </c>
      <c r="N4" t="s">
        <v>30</v>
      </c>
    </row>
    <row r="5" spans="1:14">
      <c r="A5">
        <v>4</v>
      </c>
      <c r="B5" s="3">
        <v>46311.777141203704</v>
      </c>
      <c r="C5" s="3">
        <v>46311.777604166666</v>
      </c>
      <c r="D5" t="s">
        <v>31</v>
      </c>
      <c r="E5" s="5">
        <f t="shared" si="0"/>
        <v>4.6296296204673126E-4</v>
      </c>
      <c r="F5" t="s">
        <v>32</v>
      </c>
      <c r="G5" t="s">
        <v>29</v>
      </c>
      <c r="H5" t="s">
        <v>23</v>
      </c>
      <c r="I5" t="s">
        <v>24</v>
      </c>
      <c r="J5">
        <v>4</v>
      </c>
      <c r="K5">
        <v>5</v>
      </c>
      <c r="L5" t="s">
        <v>19</v>
      </c>
      <c r="M5">
        <v>4</v>
      </c>
      <c r="N5" t="s">
        <v>33</v>
      </c>
    </row>
    <row r="6" spans="1:14">
      <c r="A6">
        <v>5</v>
      </c>
      <c r="B6" s="3">
        <v>46315.868506944447</v>
      </c>
      <c r="C6" s="3">
        <v>46315.869259259256</v>
      </c>
      <c r="D6" t="s">
        <v>34</v>
      </c>
      <c r="E6" s="5">
        <f t="shared" si="0"/>
        <v>7.5231480877846479E-4</v>
      </c>
      <c r="F6" t="s">
        <v>35</v>
      </c>
      <c r="G6" t="s">
        <v>29</v>
      </c>
      <c r="H6" t="s">
        <v>23</v>
      </c>
      <c r="I6" t="s">
        <v>36</v>
      </c>
      <c r="J6">
        <v>5</v>
      </c>
      <c r="K6">
        <v>5</v>
      </c>
      <c r="L6" t="s">
        <v>19</v>
      </c>
      <c r="M6">
        <v>5</v>
      </c>
      <c r="N6" t="s">
        <v>37</v>
      </c>
    </row>
    <row r="7" spans="1:14">
      <c r="A7" s="2"/>
      <c r="C7" s="3"/>
      <c r="D7" s="1"/>
      <c r="E7" s="5">
        <f>AVERAGE(E2:E6)</f>
        <v>1.6363425923918838E-2</v>
      </c>
      <c r="F7" s="1"/>
      <c r="G7" s="1"/>
      <c r="H7" s="1"/>
      <c r="I7" s="2">
        <f>COUNTIF(I2:I6,"In the store")</f>
        <v>3</v>
      </c>
      <c r="J7" s="2">
        <f>AVERAGE(J2:J6)</f>
        <v>4.5999999999999996</v>
      </c>
      <c r="K7" s="2">
        <f>AVERAGE(K2:K6)</f>
        <v>4.4000000000000004</v>
      </c>
      <c r="L7" s="2">
        <f>COUNTIF(L2:L6,"No")</f>
        <v>4</v>
      </c>
      <c r="M7" s="2">
        <f>AVERAGE(M2:M6)</f>
        <v>4</v>
      </c>
      <c r="N7" s="1"/>
    </row>
    <row r="20" spans="6:6">
      <c r="F20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0059-2F27-4B51-BB5C-AFC29F061E30}">
  <dimension ref="A2:B6"/>
  <sheetViews>
    <sheetView tabSelected="1" workbookViewId="0">
      <selection activeCell="A4" sqref="A4"/>
    </sheetView>
  </sheetViews>
  <sheetFormatPr defaultRowHeight="15"/>
  <cols>
    <col min="1" max="1" width="22.140625" bestFit="1" customWidth="1"/>
    <col min="2" max="2" width="14.7109375" bestFit="1" customWidth="1"/>
  </cols>
  <sheetData>
    <row r="2" spans="1:2">
      <c r="A2" s="6" t="s">
        <v>8</v>
      </c>
      <c r="B2" t="s">
        <v>38</v>
      </c>
    </row>
    <row r="3" spans="1:2">
      <c r="A3" t="s">
        <v>36</v>
      </c>
      <c r="B3" s="2">
        <v>1</v>
      </c>
    </row>
    <row r="4" spans="1:2">
      <c r="A4" t="s">
        <v>18</v>
      </c>
      <c r="B4" s="2">
        <v>1</v>
      </c>
    </row>
    <row r="5" spans="1:2">
      <c r="A5" t="s">
        <v>24</v>
      </c>
      <c r="B5" s="2">
        <v>3</v>
      </c>
    </row>
    <row r="6" spans="1:2">
      <c r="A6" t="s">
        <v>39</v>
      </c>
      <c r="B6" s="2">
        <v>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2026-10-22T01:21:31Z</dcterms:created>
  <dcterms:modified xsi:type="dcterms:W3CDTF">2026-10-22T01:59:12Z</dcterms:modified>
  <cp:category/>
  <cp:contentStatus/>
</cp:coreProperties>
</file>