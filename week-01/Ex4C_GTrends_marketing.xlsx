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DAB\EXCELCNV\1fd5c731-5b2c-44ee-b14e-3050da228f62\"/>
    </mc:Choice>
  </mc:AlternateContent>
  <xr:revisionPtr revIDLastSave="0" documentId="8_{02D097D6-8BC5-4271-865E-B44EF335B14B}" xr6:coauthVersionLast="47" xr6:coauthVersionMax="47" xr10:uidLastSave="{00000000-0000-0000-0000-000000000000}"/>
  <bookViews>
    <workbookView xWindow="-60" yWindow="-60" windowWidth="15480" windowHeight="11640" firstSheet="2" activeTab="2" xr2:uid="{5DA260F9-43A8-40CA-A872-90052A43ABE0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8"/>
  <pivotCaches>
    <pivotCache cacheId="6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<sst xmlns="http://schemas.openxmlformats.org/spreadsheetml/2006/main" count="154" uniqueCount="67">
  <si>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</si>
  <si>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</si>
  <si>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</si>
  <si>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</si>
  <si>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</si>
  <si>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</si>
  <si>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</si>
  <si>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</si>
  <si>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</si>
  <si>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</si>
  <si>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</si>
  <si>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</si>
  <si>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</si>
  <si>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</si>
  <si>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</si>
  <si>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</si>
  <si>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</si>
  <si>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</si>
  <si>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</si>
  <si>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</si>
  <si>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</si>
  <si>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</si>
  <si>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</si>
  <si>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</si>
  <si>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</si>
  <si>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</si>
  <si>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</si>
  <si>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</si>
  <si>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</si>
  <si>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</si>
  <si>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</si>
  <si>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</si>
  <si>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</si>
  <si>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</si>
  <si>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</si>
  <si>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</si>
  <si>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</si>
  <si>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</si>
  <si>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</si>
  <si>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</si>
  <si>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</si>
  <si>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</si>
  <si>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</si>
  <si>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</si>
  <si>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</si>
  <si>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</si>
  <si>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</si>
  <si>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</si>
  <si>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</si>
  <si>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</si>
  <si>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</si>
  <si>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</si>
  <si>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</si>
  <si>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</si>
  <si>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</si>
  <si>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</si>
  <si>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</si>
  <si>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</si>
  <si>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</si>
  <si>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</si>
  <si>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</si>
  <si>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</si>
  <si>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</si>
  <si>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(All)</t>
  </si>
  <si>
    <t>Sum of Milkshake</t>
  </si>
  <si>
    <t>Sum of Hamburger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</si>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</sst>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readingOrder="1"/>
    </xf>
    <xf numFmtId="0" fontId="18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'Milkshake' and 'Hamburger' by 'State'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0.19</c:v>
                </c:pt>
                <c:pt idx="1">
                  <c:v>0.22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AE-4D5E-A3AD-2A028FA55E9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0.67</c:v>
                </c:pt>
                <c:pt idx="1">
                  <c:v>0.64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AE-4D5E-A3AD-2A028FA5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2084218376"/>
        <c:axId val="2084220424"/>
      </c:barChart>
      <c:catAx>
        <c:axId val="2084218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20424"/>
        <c:crosses val="autoZero"/>
        <c:auto val="1"/>
        <c:lblAlgn val="ctr"/>
        <c:lblOffset val="100"/>
        <c:noMultiLvlLbl val="0"/>
      </c:catAx>
      <c:valAx>
        <c:axId val="208422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1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11</xdr:col>
      <xdr:colOff>304800</xdr:colOff>
      <xdr:row>28</xdr:row>
      <xdr:rowOff>76200</xdr:rowOff>
    </xdr:to>
    <xdr:graphicFrame macro="">
      <xdr:nvGraphicFramePr>
        <xdr:cNvPr id="2" name="Chart 1" descr="Chart type: Clustered Column. 'Milkshake' and 'Hamburger' by 'State'&#10;&#10;Description automatically generated">
          <a:extLst>
            <a:ext uri="{FF2B5EF4-FFF2-40B4-BE49-F238E27FC236}">
              <a16:creationId xmlns:a16="http://schemas.microsoft.com/office/drawing/2014/main" id="{8C0F6BA4-F170-DBF2-AC43-AF34C47B5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6.874850810185" createdVersion="8" refreshedVersion="8" minRefreshableVersion="3" recordCount="10" xr:uid="{6C29DA1A-71D2-47A6-8571-A8CA2478DE5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4" maxValue="0.76"/>
    </cacheField>
    <cacheField name="Milkshake" numFmtId="9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8"/>
  </r>
  <r>
    <x v="8"/>
    <x v="1"/>
    <n v="0.66"/>
    <n v="0.2"/>
  </r>
  <r>
    <x v="9"/>
    <x v="1"/>
    <n v="0.64"/>
    <n v="0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AAF1C-5390-42AF-9FC9-4DEB1E8EBE02}" name="PivotTable1" cacheId="6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5:C26" firstHeaderRow="0" firstDataRow="1" firstDataCol="1" rowPageCount="1" colPageCount="1"/>
  <pivotFields count="4">
    <pivotField axis="axisRow" compact="0" outline="0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numFmtId="9" outline="0" showAll="0"/>
    <pivotField dataField="1" compact="0" numFmtId="9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 numFmtId="9"/>
    <dataField name="Sum of Hamburger" fld="2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4617-576F-4B22-BE3C-3E44FA24C21D}">
  <dimension ref="A1:K52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2" max="2" width="18.7109375" customWidth="1"/>
    <col min="3" max="3" width="13.28515625" bestFit="1" customWidth="1"/>
    <col min="4" max="4" width="12.28515625" bestFit="1" customWidth="1"/>
    <col min="5" max="5" width="10.7109375" bestFit="1" customWidth="1"/>
    <col min="7" max="7" width="10.85546875" customWidth="1"/>
    <col min="8" max="8" width="14.7109375" customWidth="1"/>
    <col min="9" max="9" width="10.7109375" customWidth="1"/>
    <col min="10" max="10" width="13.7109375" customWidth="1"/>
    <col min="11" max="11" width="1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0.64</v>
      </c>
      <c r="D2" s="1">
        <v>0.23</v>
      </c>
      <c r="E2" s="1">
        <v>0.13</v>
      </c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0.66</v>
      </c>
      <c r="D4" s="1">
        <v>0.21</v>
      </c>
      <c r="E4" s="1">
        <v>0.13</v>
      </c>
    </row>
    <row r="5" spans="1:11">
      <c r="A5">
        <v>4</v>
      </c>
      <c r="B5" t="s">
        <v>11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0.69</v>
      </c>
      <c r="D7" s="1">
        <v>0.18</v>
      </c>
      <c r="E7" s="1">
        <v>0.13</v>
      </c>
    </row>
    <row r="8" spans="1:11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11">
      <c r="A10">
        <v>9</v>
      </c>
      <c r="B10" t="s">
        <v>16</v>
      </c>
      <c r="C10" s="1">
        <v>0.67</v>
      </c>
      <c r="D10" s="1">
        <v>0.17</v>
      </c>
      <c r="E10" s="1">
        <v>0.16</v>
      </c>
    </row>
    <row r="11" spans="1:11">
      <c r="A11">
        <v>10</v>
      </c>
      <c r="B11" t="s">
        <v>17</v>
      </c>
      <c r="C11" s="1">
        <v>0.64</v>
      </c>
      <c r="D11" s="1">
        <v>0.22</v>
      </c>
      <c r="E11" s="1">
        <v>0.14000000000000001</v>
      </c>
    </row>
    <row r="12" spans="1:11">
      <c r="A12">
        <v>11</v>
      </c>
      <c r="B12" t="s">
        <v>18</v>
      </c>
      <c r="C12" s="1">
        <v>0.64</v>
      </c>
      <c r="D12" s="1">
        <v>0.22</v>
      </c>
      <c r="E12" s="1">
        <v>0.14000000000000001</v>
      </c>
    </row>
    <row r="13" spans="1:11">
      <c r="A13">
        <v>12</v>
      </c>
      <c r="B13" t="s">
        <v>19</v>
      </c>
      <c r="C13" s="1">
        <v>0.72</v>
      </c>
      <c r="D13" s="1">
        <v>0.15</v>
      </c>
      <c r="E13" s="1">
        <v>0.13</v>
      </c>
    </row>
    <row r="14" spans="1:11">
      <c r="A14">
        <v>13</v>
      </c>
      <c r="B14" t="s">
        <v>20</v>
      </c>
      <c r="C14" s="1">
        <v>0.67</v>
      </c>
      <c r="D14" s="1">
        <v>0.19</v>
      </c>
      <c r="E14" s="1">
        <v>0.14000000000000001</v>
      </c>
    </row>
    <row r="15" spans="1:11">
      <c r="A15">
        <v>14</v>
      </c>
      <c r="B15" t="s">
        <v>21</v>
      </c>
      <c r="C15" s="1">
        <v>0.63</v>
      </c>
      <c r="D15" s="1">
        <v>0.23</v>
      </c>
      <c r="E15" s="1">
        <v>0.14000000000000001</v>
      </c>
    </row>
    <row r="16" spans="1:11">
      <c r="A16">
        <v>15</v>
      </c>
      <c r="B16" t="s">
        <v>22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23</v>
      </c>
      <c r="C17" s="1">
        <v>0.69</v>
      </c>
      <c r="D17" s="1">
        <v>0.19</v>
      </c>
      <c r="E17" s="1">
        <v>0.12</v>
      </c>
    </row>
    <row r="18" spans="1:5">
      <c r="A18">
        <v>17</v>
      </c>
      <c r="B18" t="s">
        <v>24</v>
      </c>
      <c r="C18" s="1">
        <v>0.66</v>
      </c>
      <c r="D18" s="1">
        <v>0.2</v>
      </c>
      <c r="E18" s="1">
        <v>0.14000000000000001</v>
      </c>
    </row>
    <row r="19" spans="1:5">
      <c r="A19">
        <v>18</v>
      </c>
      <c r="B19" t="s">
        <v>25</v>
      </c>
      <c r="C19" s="1">
        <v>0.64</v>
      </c>
      <c r="D19" s="1">
        <v>0.23</v>
      </c>
      <c r="E19" s="1">
        <v>0.13</v>
      </c>
    </row>
    <row r="20" spans="1:5">
      <c r="A20">
        <v>19</v>
      </c>
      <c r="B20" t="s">
        <v>26</v>
      </c>
      <c r="C20" s="1">
        <v>0.67</v>
      </c>
      <c r="D20" s="1">
        <v>0.2</v>
      </c>
      <c r="E20" s="1">
        <v>0.13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29</v>
      </c>
      <c r="C23" s="1">
        <v>0.61</v>
      </c>
      <c r="D23" s="1">
        <v>0.22</v>
      </c>
      <c r="E23" s="1">
        <v>0.17</v>
      </c>
    </row>
    <row r="24" spans="1:5">
      <c r="A24">
        <v>23</v>
      </c>
      <c r="B24" t="s">
        <v>30</v>
      </c>
      <c r="C24" s="1">
        <v>0.64</v>
      </c>
      <c r="D24" s="1">
        <v>0.22</v>
      </c>
      <c r="E24" s="1">
        <v>0.14000000000000001</v>
      </c>
    </row>
    <row r="25" spans="1:5">
      <c r="A25">
        <v>24</v>
      </c>
      <c r="B25" t="s">
        <v>31</v>
      </c>
      <c r="C25" s="1">
        <v>0.68</v>
      </c>
      <c r="D25" s="1">
        <v>0.18</v>
      </c>
      <c r="E25" s="1">
        <v>0.14000000000000001</v>
      </c>
    </row>
    <row r="26" spans="1:5">
      <c r="A26">
        <v>25</v>
      </c>
      <c r="B26" t="s">
        <v>32</v>
      </c>
      <c r="C26" s="1">
        <v>0.67</v>
      </c>
      <c r="D26" s="1">
        <v>0.21</v>
      </c>
      <c r="E26" s="1">
        <v>0.12</v>
      </c>
    </row>
    <row r="27" spans="1:5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34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0.66</v>
      </c>
      <c r="D31" s="1">
        <v>0.21</v>
      </c>
      <c r="E31" s="1">
        <v>0.13</v>
      </c>
    </row>
    <row r="32" spans="1:5">
      <c r="A32">
        <v>31</v>
      </c>
      <c r="B32" t="s">
        <v>38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39</v>
      </c>
      <c r="C33" s="1">
        <v>0.66</v>
      </c>
      <c r="D33" s="1">
        <v>0.19</v>
      </c>
      <c r="E33" s="1">
        <v>0.15</v>
      </c>
    </row>
    <row r="34" spans="1: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41</v>
      </c>
      <c r="C35" s="1">
        <v>0.64</v>
      </c>
      <c r="D35" s="1">
        <v>0.23</v>
      </c>
      <c r="E35" s="1">
        <v>0.13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0.63</v>
      </c>
      <c r="D37" s="1">
        <v>0.23</v>
      </c>
      <c r="E37" s="1">
        <v>0.14000000000000001</v>
      </c>
    </row>
    <row r="38" spans="1:5">
      <c r="A38">
        <v>37</v>
      </c>
      <c r="B38" t="s">
        <v>44</v>
      </c>
      <c r="C38" s="1">
        <v>0.68</v>
      </c>
      <c r="D38" s="1">
        <v>0.2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47</v>
      </c>
      <c r="C41" s="1">
        <v>0.66</v>
      </c>
      <c r="D41" s="1">
        <v>0.22</v>
      </c>
      <c r="E41" s="1">
        <v>0.12</v>
      </c>
    </row>
    <row r="42" spans="1:5">
      <c r="A42">
        <v>41</v>
      </c>
      <c r="B42" t="s">
        <v>48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50</v>
      </c>
      <c r="C44" s="1">
        <v>0.66</v>
      </c>
      <c r="D44" s="1">
        <v>0.22</v>
      </c>
      <c r="E44" s="1">
        <v>0.12</v>
      </c>
    </row>
    <row r="45" spans="1:5">
      <c r="A45">
        <v>44</v>
      </c>
      <c r="B45" t="s">
        <v>51</v>
      </c>
      <c r="C45" s="1">
        <v>0.68</v>
      </c>
      <c r="D45" s="1">
        <v>0.19</v>
      </c>
      <c r="E45" s="1">
        <v>0.13</v>
      </c>
    </row>
    <row r="46" spans="1: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55</v>
      </c>
      <c r="C49" s="1">
        <v>0.67</v>
      </c>
      <c r="D49" s="1">
        <v>0.18</v>
      </c>
      <c r="E49" s="1">
        <v>0.15</v>
      </c>
    </row>
    <row r="50" spans="1:5">
      <c r="A50">
        <v>49</v>
      </c>
      <c r="B50" t="s">
        <v>56</v>
      </c>
      <c r="C50" s="1">
        <v>0.65</v>
      </c>
      <c r="D50" s="1">
        <v>0.22</v>
      </c>
      <c r="E50" s="1">
        <v>0.13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1D8E4617-576F-4B22-BE3C-3E44FA24C2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E85E-C080-411E-8419-71CC93A18AEB}">
  <dimension ref="A1:AZ4"/>
  <sheetViews>
    <sheetView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0.69</v>
      </c>
      <c r="H2" s="1">
        <v>0.64</v>
      </c>
      <c r="I2" s="1">
        <v>0.62</v>
      </c>
      <c r="J2" s="1">
        <v>0.67</v>
      </c>
      <c r="K2" s="1">
        <v>0.64</v>
      </c>
      <c r="L2" s="1">
        <v>0.64</v>
      </c>
      <c r="M2" s="1">
        <v>0.72</v>
      </c>
      <c r="N2" s="1">
        <v>0.67</v>
      </c>
      <c r="O2" s="1">
        <v>0.63</v>
      </c>
      <c r="P2" s="1">
        <v>0.63</v>
      </c>
      <c r="Q2" s="1">
        <v>0.69</v>
      </c>
      <c r="R2" s="1">
        <v>0.66</v>
      </c>
      <c r="S2" s="1">
        <v>0.64</v>
      </c>
      <c r="T2" s="1">
        <v>0.67</v>
      </c>
      <c r="U2" s="1">
        <v>0.69</v>
      </c>
      <c r="V2" s="1">
        <v>0.62</v>
      </c>
      <c r="W2" s="1">
        <v>0.61</v>
      </c>
      <c r="X2" s="1">
        <v>0.64</v>
      </c>
      <c r="Y2" s="1">
        <v>0.68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0.66</v>
      </c>
      <c r="AF2" s="1">
        <v>0.62</v>
      </c>
      <c r="AG2" s="1">
        <v>0.66</v>
      </c>
      <c r="AH2" s="1">
        <v>0.63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0.62</v>
      </c>
      <c r="AO2" s="1">
        <v>0.66</v>
      </c>
      <c r="AP2" s="1">
        <v>0.66</v>
      </c>
      <c r="AQ2" s="1">
        <v>0.76</v>
      </c>
      <c r="AR2" s="1">
        <v>0.66</v>
      </c>
      <c r="AS2" s="1">
        <v>0.68</v>
      </c>
      <c r="AT2" s="1">
        <v>0.66</v>
      </c>
      <c r="AU2" s="1">
        <v>0.69</v>
      </c>
      <c r="AV2" s="1">
        <v>0.63</v>
      </c>
      <c r="AW2" s="1">
        <v>0.67</v>
      </c>
      <c r="AX2" s="1">
        <v>0.65</v>
      </c>
      <c r="AY2" s="1">
        <v>0.66</v>
      </c>
      <c r="AZ2" s="1">
        <v>0.71</v>
      </c>
    </row>
    <row r="3" spans="1:52">
      <c r="A3" t="s">
        <v>3</v>
      </c>
      <c r="B3" s="1">
        <v>0.23</v>
      </c>
      <c r="C3" s="1">
        <v>0.15</v>
      </c>
      <c r="D3" s="1">
        <v>0.21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0.22</v>
      </c>
      <c r="L3" s="1">
        <v>0.22</v>
      </c>
      <c r="M3" s="1">
        <v>0.15</v>
      </c>
      <c r="N3" s="1">
        <v>0.19</v>
      </c>
      <c r="O3" s="1">
        <v>0.23</v>
      </c>
      <c r="P3" s="1">
        <v>0.23</v>
      </c>
      <c r="Q3" s="1">
        <v>0.19</v>
      </c>
      <c r="R3" s="1">
        <v>0.2</v>
      </c>
      <c r="S3" s="1">
        <v>0.23</v>
      </c>
      <c r="T3" s="1">
        <v>0.2</v>
      </c>
      <c r="U3" s="1">
        <v>0.18</v>
      </c>
      <c r="V3" s="1">
        <v>0.23</v>
      </c>
      <c r="W3" s="1">
        <v>0.22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0.19</v>
      </c>
      <c r="AH3" s="1">
        <v>0.21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0.22</v>
      </c>
      <c r="AY3" s="1">
        <v>0.2</v>
      </c>
      <c r="AZ3" s="1">
        <v>0.16</v>
      </c>
    </row>
    <row r="4" spans="1:52">
      <c r="A4" t="s">
        <v>4</v>
      </c>
      <c r="B4" s="1">
        <v>0.13</v>
      </c>
      <c r="C4" s="1">
        <v>0.13</v>
      </c>
      <c r="D4" s="1">
        <v>0.13</v>
      </c>
      <c r="E4" s="1">
        <v>0.13</v>
      </c>
      <c r="F4" s="1">
        <v>0.15</v>
      </c>
      <c r="G4" s="1">
        <v>0.13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0.12</v>
      </c>
      <c r="AP4" s="1">
        <v>0.12</v>
      </c>
      <c r="AQ4" s="1">
        <v>0.1</v>
      </c>
      <c r="AR4" s="1">
        <v>0.12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8DEB-D13B-4673-BC62-B7C754FBF76F}">
  <dimension ref="A1:D26"/>
  <sheetViews>
    <sheetView tabSelected="1" topLeftCell="A6" workbookViewId="0">
      <selection activeCell="B13" sqref="B13"/>
    </sheetView>
  </sheetViews>
  <sheetFormatPr defaultRowHeight="15"/>
  <cols>
    <col min="1" max="1" width="12.85546875" customWidth="1"/>
    <col min="2" max="2" width="17.140625" customWidth="1"/>
    <col min="3" max="3" width="18.140625" customWidth="1"/>
    <col min="4" max="4" width="9.85546875" customWidth="1"/>
  </cols>
  <sheetData>
    <row r="1" spans="1:4">
      <c r="A1" t="s">
        <v>59</v>
      </c>
      <c r="B1" t="s">
        <v>60</v>
      </c>
      <c r="C1" t="s">
        <v>2</v>
      </c>
      <c r="D1" t="s">
        <v>3</v>
      </c>
    </row>
    <row r="2" spans="1:4">
      <c r="A2" t="s">
        <v>55</v>
      </c>
      <c r="B2" s="4" t="s">
        <v>61</v>
      </c>
      <c r="C2" s="1">
        <f>VLOOKUP('sales region lookup'!A2, 'by search term'!B:C, 2, FALSE)</f>
        <v>0.67</v>
      </c>
      <c r="D2" s="1">
        <f>_xlfn.XLOOKUP(A2, 'by search term'!B1:B52, 'by search term'!D1:D52, "not found")</f>
        <v>0.18</v>
      </c>
    </row>
    <row r="3" spans="1:4">
      <c r="A3" t="s">
        <v>45</v>
      </c>
      <c r="B3" s="5" t="s">
        <v>61</v>
      </c>
      <c r="C3" s="1">
        <f>VLOOKUP('sales region lookup'!A3, 'by search term'!B:C, 2, FALSE)</f>
        <v>0.69</v>
      </c>
      <c r="D3" s="1">
        <f>_xlfn.XLOOKUP(A3, 'by search term'!B2:B53, 'by search term'!D2:D53, "not found")</f>
        <v>0.18</v>
      </c>
    </row>
    <row r="4" spans="1:4">
      <c r="A4" t="s">
        <v>20</v>
      </c>
      <c r="B4" s="4" t="s">
        <v>61</v>
      </c>
      <c r="C4" s="1">
        <f>VLOOKUP('sales region lookup'!A4, 'by search term'!B:C, 2, FALSE)</f>
        <v>0.67</v>
      </c>
      <c r="D4" s="1">
        <f>_xlfn.XLOOKUP(A4, 'by search term'!B3:B54, 'by search term'!D3:D54, "not found")</f>
        <v>0.19</v>
      </c>
    </row>
    <row r="5" spans="1:4">
      <c r="A5" t="s">
        <v>34</v>
      </c>
      <c r="B5" t="s">
        <v>61</v>
      </c>
      <c r="C5" s="1">
        <f>VLOOKUP('sales region lookup'!A5, 'by search term'!B:C, 2, FALSE)</f>
        <v>0.75</v>
      </c>
      <c r="D5" s="1">
        <f>_xlfn.XLOOKUP(A5, 'by search term'!B4:B55, 'by search term'!D4:D55, "not found")</f>
        <v>0.14000000000000001</v>
      </c>
    </row>
    <row r="6" spans="1:4">
      <c r="A6" t="s">
        <v>42</v>
      </c>
      <c r="B6" s="4" t="s">
        <v>62</v>
      </c>
      <c r="C6" s="1">
        <f>VLOOKUP('sales region lookup'!A6, 'by search term'!B:C, 2, FALSE)</f>
        <v>0.69</v>
      </c>
      <c r="D6" s="1">
        <f>_xlfn.XLOOKUP(A6, 'by search term'!B5:B56, 'by search term'!D5:D56, "not found")</f>
        <v>0.19</v>
      </c>
    </row>
    <row r="7" spans="1:4">
      <c r="A7" t="s">
        <v>49</v>
      </c>
      <c r="B7" t="s">
        <v>62</v>
      </c>
      <c r="C7" s="1">
        <f>VLOOKUP('sales region lookup'!A7, 'by search term'!B:C, 2, FALSE)</f>
        <v>0.76</v>
      </c>
      <c r="D7" s="1">
        <f>_xlfn.XLOOKUP(A7, 'by search term'!B6:B57, 'by search term'!D6:D57, "not found")</f>
        <v>0.14000000000000001</v>
      </c>
    </row>
    <row r="8" spans="1:4">
      <c r="A8" t="s">
        <v>35</v>
      </c>
      <c r="B8" s="4" t="s">
        <v>62</v>
      </c>
      <c r="C8" s="1">
        <f>VLOOKUP('sales region lookup'!A8, 'by search term'!B:C, 2, FALSE)</f>
        <v>0.69</v>
      </c>
      <c r="D8" s="1">
        <f>_xlfn.XLOOKUP(A8, 'by search term'!B7:B58, 'by search term'!D7:D58, "not found")</f>
        <v>0.18</v>
      </c>
    </row>
    <row r="9" spans="1:4">
      <c r="A9" t="s">
        <v>31</v>
      </c>
      <c r="B9" t="s">
        <v>62</v>
      </c>
      <c r="C9" s="1">
        <f>VLOOKUP('sales region lookup'!A9, 'by search term'!B:C, 2, FALSE)</f>
        <v>0.68</v>
      </c>
      <c r="D9" s="1">
        <f>_xlfn.XLOOKUP(A9, 'by search term'!B8:B59, 'by search term'!D8:D59, "not found")</f>
        <v>0.18</v>
      </c>
    </row>
    <row r="10" spans="1:4">
      <c r="A10" t="s">
        <v>57</v>
      </c>
      <c r="B10" s="4" t="s">
        <v>62</v>
      </c>
      <c r="C10" s="1">
        <f>VLOOKUP('sales region lookup'!A10, 'by search term'!B:C, 2, FALSE)</f>
        <v>0.66</v>
      </c>
      <c r="D10" s="1">
        <f>_xlfn.XLOOKUP(A10, 'by search term'!B9:B60, 'by search term'!D9:D60, "not found")</f>
        <v>0.2</v>
      </c>
    </row>
    <row r="11" spans="1:4">
      <c r="A11" t="s">
        <v>30</v>
      </c>
      <c r="B11" t="s">
        <v>62</v>
      </c>
      <c r="C11" s="1">
        <f>VLOOKUP('sales region lookup'!A11, 'by search term'!B:C, 2, FALSE)</f>
        <v>0.64</v>
      </c>
      <c r="D11" s="1">
        <f>_xlfn.XLOOKUP(A11, 'by search term'!B10:B61, 'by search term'!D10:D61, "not found")</f>
        <v>0.22</v>
      </c>
    </row>
    <row r="12" spans="1:4">
      <c r="B12" s="4"/>
    </row>
    <row r="13" spans="1:4">
      <c r="A13" s="6" t="s">
        <v>60</v>
      </c>
      <c r="B13" t="s">
        <v>63</v>
      </c>
    </row>
    <row r="14" spans="1:4">
      <c r="B14" s="4"/>
    </row>
    <row r="15" spans="1:4">
      <c r="A15" s="6" t="s">
        <v>59</v>
      </c>
      <c r="B15" t="s">
        <v>64</v>
      </c>
      <c r="C15" t="s">
        <v>65</v>
      </c>
    </row>
    <row r="16" spans="1:4">
      <c r="A16" t="s">
        <v>20</v>
      </c>
      <c r="B16" s="1">
        <v>0.19</v>
      </c>
      <c r="C16" s="1">
        <v>0.67</v>
      </c>
    </row>
    <row r="17" spans="1:3">
      <c r="A17" t="s">
        <v>30</v>
      </c>
      <c r="B17" s="1">
        <v>0.22</v>
      </c>
      <c r="C17" s="1">
        <v>0.64</v>
      </c>
    </row>
    <row r="18" spans="1:3">
      <c r="A18" t="s">
        <v>31</v>
      </c>
      <c r="B18" s="1">
        <v>0.18</v>
      </c>
      <c r="C18" s="1">
        <v>0.68</v>
      </c>
    </row>
    <row r="19" spans="1:3">
      <c r="A19" t="s">
        <v>34</v>
      </c>
      <c r="B19" s="1">
        <v>0.14000000000000001</v>
      </c>
      <c r="C19" s="1">
        <v>0.75</v>
      </c>
    </row>
    <row r="20" spans="1:3">
      <c r="A20" t="s">
        <v>35</v>
      </c>
      <c r="B20" s="1">
        <v>0.18</v>
      </c>
      <c r="C20" s="1">
        <v>0.69</v>
      </c>
    </row>
    <row r="21" spans="1:3">
      <c r="A21" t="s">
        <v>42</v>
      </c>
      <c r="B21" s="1">
        <v>0.19</v>
      </c>
      <c r="C21" s="1">
        <v>0.69</v>
      </c>
    </row>
    <row r="22" spans="1:3">
      <c r="A22" t="s">
        <v>45</v>
      </c>
      <c r="B22" s="1">
        <v>0.18</v>
      </c>
      <c r="C22" s="1">
        <v>0.69</v>
      </c>
    </row>
    <row r="23" spans="1:3">
      <c r="A23" t="s">
        <v>49</v>
      </c>
      <c r="B23" s="1">
        <v>0.14000000000000001</v>
      </c>
      <c r="C23" s="1">
        <v>0.76</v>
      </c>
    </row>
    <row r="24" spans="1:3">
      <c r="A24" t="s">
        <v>55</v>
      </c>
      <c r="B24" s="1">
        <v>0.18</v>
      </c>
      <c r="C24" s="1">
        <v>0.67</v>
      </c>
    </row>
    <row r="25" spans="1:3">
      <c r="A25" t="s">
        <v>57</v>
      </c>
      <c r="B25" s="1">
        <v>0.2</v>
      </c>
      <c r="C25" s="1">
        <v>0.66</v>
      </c>
    </row>
    <row r="26" spans="1:3">
      <c r="A26" t="s">
        <v>66</v>
      </c>
      <c r="B26" s="1">
        <v>1.7999999999999998</v>
      </c>
      <c r="C26" s="1">
        <v>6.9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2026-10-15T14:27:01Z</dcterms:created>
  <dcterms:modified xsi:type="dcterms:W3CDTF">2026-10-22T01:10:20Z</dcterms:modified>
  <cp:category/>
  <cp:contentStatus/>
</cp:coreProperties>
</file>